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1481-2022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44573</v>
      </c>
      <c r="E2" s="1" t="n">
        <v>46310</v>
      </c>
      <c r="F2" t="inlineStr">
        <is>
          <t>SKÅNE LÄN</t>
        </is>
      </c>
      <c r="G2" t="inlineStr">
        <is>
          <t>KÄVLINGE</t>
        </is>
      </c>
      <c r="I2" t="n">
        <v>7.8</v>
      </c>
      <c r="J2" t="n">
        <v>4</v>
      </c>
      <c r="K2" t="n">
        <v>2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7</v>
      </c>
      <c r="T2" t="n">
        <v>7</v>
      </c>
      <c r="U2" t="n">
        <v>3</v>
      </c>
      <c r="V2" s="2" t="inlineStr">
        <is>
          <t>Grönsångare
Kardinalrödrock
Sadelmurkla
Kragjordstjärna
Skogsknipprot
Spillkråka
Grönsiska</t>
        </is>
      </c>
      <c r="W2">
        <f>HYPERLINK("https://klasma.github.io/Logging_1261/artfynd/A 1481-2022 artfynd.xlsx", "A 1481-2022")</f>
        <v/>
      </c>
      <c r="X2">
        <f>HYPERLINK("https://klasma.github.io/Logging_1261/kartor/A 1481-2022 karta.png", "A 1481-2022")</f>
        <v/>
      </c>
      <c r="Y2">
        <f>HYPERLINK("https://klasma.github.io/Logging_1261/kartor_geotiff/A 1481-2022 georefererad karta.tif", "A 1481-2022")</f>
        <v/>
      </c>
      <c r="AA2">
        <f>HYPERLINK("https://klasma.github.io/Logging_1261/klagomål/A 1481-2022 FSC-klagomål.docx", "A 1481-2022")</f>
        <v/>
      </c>
      <c r="AB2">
        <f>HYPERLINK("https://klasma.github.io/Logging_1261/klagomålsmail/A 1481-2022 FSC-klagomål mail.docx", "A 1481-2022")</f>
        <v/>
      </c>
      <c r="AC2">
        <f>HYPERLINK("https://klasma.github.io/Logging_1261/tillsyn/A 1481-2022 tillsynsbegäran.docx", "A 1481-2022")</f>
        <v/>
      </c>
      <c r="AD2">
        <f>HYPERLINK("https://klasma.github.io/Logging_1261/tillsynsmail/A 1481-2022 tillsynsbegäran mail.docx", "A 1481-2022")</f>
        <v/>
      </c>
      <c r="AE2">
        <f>HYPERLINK("https://klasma.github.io/Logging_1261/fåglar/A 1481-2022 prioriterade fågelarter.docx", "A 1481-2022")</f>
        <v/>
      </c>
    </row>
    <row r="3" ht="15" customHeight="1">
      <c r="A3" t="inlineStr">
        <is>
          <t>A 11648-2024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45373</v>
      </c>
      <c r="E3" s="1" t="n">
        <v>46310</v>
      </c>
      <c r="F3" t="inlineStr">
        <is>
          <t>SKÅNE LÄN</t>
        </is>
      </c>
      <c r="G3" t="inlineStr">
        <is>
          <t>KÄVLINGE</t>
        </is>
      </c>
      <c r="H3" t="inlineStr">
        <is>
          <t>Övriga Aktiebolag</t>
        </is>
      </c>
      <c r="I3" t="n">
        <v>10.5</v>
      </c>
      <c r="J3" t="n">
        <v>1</v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3</v>
      </c>
      <c r="T3" t="n">
        <v>3</v>
      </c>
      <c r="U3" t="n">
        <v>1</v>
      </c>
      <c r="V3" s="2" t="inlineStr">
        <is>
          <t>Ask
Bokoxe
Skogsknipprot</t>
        </is>
      </c>
      <c r="W3">
        <f>HYPERLINK("https://klasma.github.io/Logging_1261/artfynd/A 11648-2024 artfynd.xlsx", "A 11648-2024")</f>
        <v/>
      </c>
      <c r="X3">
        <f>HYPERLINK("https://klasma.github.io/Logging_1261/kartor/A 11648-2024 karta.png", "A 11648-2024")</f>
        <v/>
      </c>
      <c r="Y3">
        <f>HYPERLINK("https://klasma.github.io/Logging_1261/kartor_geotiff/A 11648-2024 georefererad karta.tif", "A 11648-2024")</f>
        <v/>
      </c>
      <c r="AA3">
        <f>HYPERLINK("https://klasma.github.io/Logging_1261/klagomål/A 11648-2024 FSC-klagomål.docx", "A 11648-2024")</f>
        <v/>
      </c>
      <c r="AB3">
        <f>HYPERLINK("https://klasma.github.io/Logging_1261/klagomålsmail/A 11648-2024 FSC-klagomål mail.docx", "A 11648-2024")</f>
        <v/>
      </c>
      <c r="AC3">
        <f>HYPERLINK("https://klasma.github.io/Logging_1261/tillsyn/A 11648-2024 tillsynsbegäran.docx", "A 11648-2024")</f>
        <v/>
      </c>
      <c r="AD3">
        <f>HYPERLINK("https://klasma.github.io/Logging_1261/tillsynsmail/A 11648-2024 tillsynsbegäran mail.docx", "A 11648-2024")</f>
        <v/>
      </c>
    </row>
    <row r="4" ht="15" customHeight="1">
      <c r="A4" t="inlineStr">
        <is>
          <t>A 53519-2023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45230</v>
      </c>
      <c r="E4" s="1" t="n">
        <v>46310</v>
      </c>
      <c r="F4" t="inlineStr">
        <is>
          <t>SKÅNE LÄN</t>
        </is>
      </c>
      <c r="G4" t="inlineStr">
        <is>
          <t>KÄVLINGE</t>
        </is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s="2" t="inlineStr">
        <is>
          <t>Bergbjörnbär</t>
        </is>
      </c>
      <c r="W4">
        <f>HYPERLINK("https://klasma.github.io/Logging_1261/artfynd/A 53519-2023 artfynd.xlsx", "A 53519-2023")</f>
        <v/>
      </c>
      <c r="X4">
        <f>HYPERLINK("https://klasma.github.io/Logging_1261/kartor/A 53519-2023 karta.png", "A 53519-2023")</f>
        <v/>
      </c>
      <c r="Y4">
        <f>HYPERLINK("https://klasma.github.io/Logging_1261/kartor_geotiff/A 53519-2023 georefererad karta.tif", "A 53519-2023")</f>
        <v/>
      </c>
      <c r="AA4">
        <f>HYPERLINK("https://klasma.github.io/Logging_1261/klagomål/A 53519-2023 FSC-klagomål.docx", "A 53519-2023")</f>
        <v/>
      </c>
      <c r="AB4">
        <f>HYPERLINK("https://klasma.github.io/Logging_1261/klagomålsmail/A 53519-2023 FSC-klagomål mail.docx", "A 53519-2023")</f>
        <v/>
      </c>
      <c r="AC4">
        <f>HYPERLINK("https://klasma.github.io/Logging_1261/tillsyn/A 53519-2023 tillsynsbegäran.docx", "A 53519-2023")</f>
        <v/>
      </c>
      <c r="AD4">
        <f>HYPERLINK("https://klasma.github.io/Logging_1261/tillsynsmail/A 53519-2023 tillsynsbegäran mail.docx", "A 53519-2023")</f>
        <v/>
      </c>
    </row>
    <row r="5" ht="15" customHeight="1">
      <c r="A5" t="inlineStr">
        <is>
          <t>A 1468-2022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44573</v>
      </c>
      <c r="E5" s="1" t="n">
        <v>46310</v>
      </c>
      <c r="F5" t="inlineStr">
        <is>
          <t>SKÅNE LÄN</t>
        </is>
      </c>
      <c r="G5" t="inlineStr">
        <is>
          <t>KÄVLINGE</t>
        </is>
      </c>
      <c r="I5" t="n">
        <v>1.8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22369-2024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45446</v>
      </c>
      <c r="E6" s="1" t="n">
        <v>46310</v>
      </c>
      <c r="F6" t="inlineStr">
        <is>
          <t>SKÅNE LÄN</t>
        </is>
      </c>
      <c r="G6" t="inlineStr">
        <is>
          <t>KÄVLINGE</t>
        </is>
      </c>
      <c r="I6" t="n">
        <v>5.6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>
      <c r="A7" t="inlineStr">
        <is>
          <t>A 65018-2023</t>
        </is>
      </c>
      <c r="B7" t="inlineStr">
        <is>
          <t>avverkningsanmälan</t>
        </is>
      </c>
      <c r="C7" t="inlineStr">
        <is>
          <t>Avverkning för annat ändamål</t>
        </is>
      </c>
      <c r="D7" s="1" t="n">
        <v>45287</v>
      </c>
      <c r="E7" s="1" t="n">
        <v>46310</v>
      </c>
      <c r="F7" t="inlineStr">
        <is>
          <t>SKÅNE LÄN</t>
        </is>
      </c>
      <c r="G7" t="inlineStr">
        <is>
          <t>KÄVLINGE</t>
        </is>
      </c>
      <c r="I7" t="n">
        <v>1.1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2026-10-15T02:00:33Z</dcterms:created>
  <dcterms:modified xmlns:dcterms="http://purl.org/dc/terms/" xmlns:xsi="http://www.w3.org/2001/XMLSchema-instance" xsi:type="dcterms:W3CDTF">2026-10-15T02:00:33Z</dcterms:modified>
</cp:coreProperties>
</file>