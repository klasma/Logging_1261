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55942-2019</t>
        </is>
      </c>
      <c r="B2" s="1" t="n">
        <v>43755</v>
      </c>
      <c r="C2" s="1" t="n">
        <v>45824</v>
      </c>
      <c r="D2" t="inlineStr">
        <is>
          <t>SKÅNE LÄN</t>
        </is>
      </c>
      <c r="E2" t="inlineStr">
        <is>
          <t>KÄVLINGE</t>
        </is>
      </c>
      <c r="F2" t="inlineStr">
        <is>
          <t>Övriga Aktiebolag</t>
        </is>
      </c>
      <c r="G2" t="n">
        <v>5.4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Paddfot
Bokoxe
Guldlockmossa
Lönnlav</t>
        </is>
      </c>
      <c r="S2">
        <f>HYPERLINK("https://klasma.github.io/Logging_1261/artfynd/A 55942-2019 artfynd.xlsx", "A 55942-2019")</f>
        <v/>
      </c>
      <c r="T2">
        <f>HYPERLINK("https://klasma.github.io/Logging_1261/kartor/A 55942-2019 karta.png", "A 55942-2019")</f>
        <v/>
      </c>
      <c r="V2">
        <f>HYPERLINK("https://klasma.github.io/Logging_1261/klagomål/A 55942-2019 FSC-klagomål.docx", "A 55942-2019")</f>
        <v/>
      </c>
      <c r="W2">
        <f>HYPERLINK("https://klasma.github.io/Logging_1261/klagomålsmail/A 55942-2019 FSC-klagomål mail.docx", "A 55942-2019")</f>
        <v/>
      </c>
      <c r="X2">
        <f>HYPERLINK("https://klasma.github.io/Logging_1261/tillsyn/A 55942-2019 tillsynsbegäran.docx", "A 55942-2019")</f>
        <v/>
      </c>
      <c r="Y2">
        <f>HYPERLINK("https://klasma.github.io/Logging_1261/tillsynsmail/A 55942-2019 tillsynsbegäran mail.docx", "A 55942-2019")</f>
        <v/>
      </c>
    </row>
    <row r="3" ht="15" customHeight="1">
      <c r="A3" t="inlineStr">
        <is>
          <t>A 1481-2022</t>
        </is>
      </c>
      <c r="B3" s="1" t="n">
        <v>44573</v>
      </c>
      <c r="C3" s="1" t="n">
        <v>45824</v>
      </c>
      <c r="D3" t="inlineStr">
        <is>
          <t>SKÅNE LÄN</t>
        </is>
      </c>
      <c r="E3" t="inlineStr">
        <is>
          <t>KÄVLINGE</t>
        </is>
      </c>
      <c r="G3" t="n">
        <v>7.8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Grönsångare
Sadelmurkla
Kragjordstjärna</t>
        </is>
      </c>
      <c r="S3">
        <f>HYPERLINK("https://klasma.github.io/Logging_1261/artfynd/A 1481-2022 artfynd.xlsx", "A 1481-2022")</f>
        <v/>
      </c>
      <c r="T3">
        <f>HYPERLINK("https://klasma.github.io/Logging_1261/kartor/A 1481-2022 karta.png", "A 1481-2022")</f>
        <v/>
      </c>
      <c r="V3">
        <f>HYPERLINK("https://klasma.github.io/Logging_1261/klagomål/A 1481-2022 FSC-klagomål.docx", "A 1481-2022")</f>
        <v/>
      </c>
      <c r="W3">
        <f>HYPERLINK("https://klasma.github.io/Logging_1261/klagomålsmail/A 1481-2022 FSC-klagomål mail.docx", "A 1481-2022")</f>
        <v/>
      </c>
      <c r="X3">
        <f>HYPERLINK("https://klasma.github.io/Logging_1261/tillsyn/A 1481-2022 tillsynsbegäran.docx", "A 1481-2022")</f>
        <v/>
      </c>
      <c r="Y3">
        <f>HYPERLINK("https://klasma.github.io/Logging_1261/tillsynsmail/A 1481-2022 tillsynsbegäran mail.docx", "A 1481-2022")</f>
        <v/>
      </c>
      <c r="Z3">
        <f>HYPERLINK("https://klasma.github.io/Logging_1261/fåglar/A 1481-2022 prioriterade fågelarter.docx", "A 1481-2022")</f>
        <v/>
      </c>
    </row>
    <row r="4" ht="15" customHeight="1">
      <c r="A4" t="inlineStr">
        <is>
          <t>A 53486-2023</t>
        </is>
      </c>
      <c r="B4" s="1" t="n">
        <v>45230</v>
      </c>
      <c r="C4" s="1" t="n">
        <v>45824</v>
      </c>
      <c r="D4" t="inlineStr">
        <is>
          <t>SKÅNE LÄN</t>
        </is>
      </c>
      <c r="E4" t="inlineStr">
        <is>
          <t>KÄVLINGE</t>
        </is>
      </c>
      <c r="G4" t="n">
        <v>1.2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Hedblomster
Backtimjan</t>
        </is>
      </c>
      <c r="S4">
        <f>HYPERLINK("https://klasma.github.io/Logging_1261/artfynd/A 53486-2023 artfynd.xlsx", "A 53486-2023")</f>
        <v/>
      </c>
      <c r="T4">
        <f>HYPERLINK("https://klasma.github.io/Logging_1261/kartor/A 53486-2023 karta.png", "A 53486-2023")</f>
        <v/>
      </c>
      <c r="V4">
        <f>HYPERLINK("https://klasma.github.io/Logging_1261/klagomål/A 53486-2023 FSC-klagomål.docx", "A 53486-2023")</f>
        <v/>
      </c>
      <c r="W4">
        <f>HYPERLINK("https://klasma.github.io/Logging_1261/klagomålsmail/A 53486-2023 FSC-klagomål mail.docx", "A 53486-2023")</f>
        <v/>
      </c>
      <c r="X4">
        <f>HYPERLINK("https://klasma.github.io/Logging_1261/tillsyn/A 53486-2023 tillsynsbegäran.docx", "A 53486-2023")</f>
        <v/>
      </c>
      <c r="Y4">
        <f>HYPERLINK("https://klasma.github.io/Logging_1261/tillsynsmail/A 53486-2023 tillsynsbegäran mail.docx", "A 53486-2023")</f>
        <v/>
      </c>
    </row>
    <row r="5" ht="15" customHeight="1">
      <c r="A5" t="inlineStr">
        <is>
          <t>A 11648-2024</t>
        </is>
      </c>
      <c r="B5" s="1" t="n">
        <v>45373</v>
      </c>
      <c r="C5" s="1" t="n">
        <v>45824</v>
      </c>
      <c r="D5" t="inlineStr">
        <is>
          <t>SKÅNE LÄN</t>
        </is>
      </c>
      <c r="E5" t="inlineStr">
        <is>
          <t>KÄVLINGE</t>
        </is>
      </c>
      <c r="F5" t="inlineStr">
        <is>
          <t>Övriga Aktiebolag</t>
        </is>
      </c>
      <c r="G5" t="n">
        <v>10.5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Bokoxe</t>
        </is>
      </c>
      <c r="S5">
        <f>HYPERLINK("https://klasma.github.io/Logging_1261/artfynd/A 11648-2024 artfynd.xlsx", "A 11648-2024")</f>
        <v/>
      </c>
      <c r="T5">
        <f>HYPERLINK("https://klasma.github.io/Logging_1261/kartor/A 11648-2024 karta.png", "A 11648-2024")</f>
        <v/>
      </c>
      <c r="V5">
        <f>HYPERLINK("https://klasma.github.io/Logging_1261/klagomål/A 11648-2024 FSC-klagomål.docx", "A 11648-2024")</f>
        <v/>
      </c>
      <c r="W5">
        <f>HYPERLINK("https://klasma.github.io/Logging_1261/klagomålsmail/A 11648-2024 FSC-klagomål mail.docx", "A 11648-2024")</f>
        <v/>
      </c>
      <c r="X5">
        <f>HYPERLINK("https://klasma.github.io/Logging_1261/tillsyn/A 11648-2024 tillsynsbegäran.docx", "A 11648-2024")</f>
        <v/>
      </c>
      <c r="Y5">
        <f>HYPERLINK("https://klasma.github.io/Logging_1261/tillsynsmail/A 11648-2024 tillsynsbegäran mail.docx", "A 11648-2024")</f>
        <v/>
      </c>
    </row>
    <row r="6" ht="15" customHeight="1">
      <c r="A6" t="inlineStr">
        <is>
          <t>A 53519-2023</t>
        </is>
      </c>
      <c r="B6" s="1" t="n">
        <v>45230</v>
      </c>
      <c r="C6" s="1" t="n">
        <v>45824</v>
      </c>
      <c r="D6" t="inlineStr">
        <is>
          <t>SKÅNE LÄN</t>
        </is>
      </c>
      <c r="E6" t="inlineStr">
        <is>
          <t>KÄVLINGE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Bergbjörnbär</t>
        </is>
      </c>
      <c r="S6">
        <f>HYPERLINK("https://klasma.github.io/Logging_1261/artfynd/A 53519-2023 artfynd.xlsx", "A 53519-2023")</f>
        <v/>
      </c>
      <c r="T6">
        <f>HYPERLINK("https://klasma.github.io/Logging_1261/kartor/A 53519-2023 karta.png", "A 53519-2023")</f>
        <v/>
      </c>
      <c r="V6">
        <f>HYPERLINK("https://klasma.github.io/Logging_1261/klagomål/A 53519-2023 FSC-klagomål.docx", "A 53519-2023")</f>
        <v/>
      </c>
      <c r="W6">
        <f>HYPERLINK("https://klasma.github.io/Logging_1261/klagomålsmail/A 53519-2023 FSC-klagomål mail.docx", "A 53519-2023")</f>
        <v/>
      </c>
      <c r="X6">
        <f>HYPERLINK("https://klasma.github.io/Logging_1261/tillsyn/A 53519-2023 tillsynsbegäran.docx", "A 53519-2023")</f>
        <v/>
      </c>
      <c r="Y6">
        <f>HYPERLINK("https://klasma.github.io/Logging_1261/tillsynsmail/A 53519-2023 tillsynsbegäran mail.docx", "A 53519-2023")</f>
        <v/>
      </c>
    </row>
    <row r="7" ht="15" customHeight="1">
      <c r="A7" t="inlineStr">
        <is>
          <t>A 56224-2019</t>
        </is>
      </c>
      <c r="B7" s="1" t="n">
        <v>43755</v>
      </c>
      <c r="C7" s="1" t="n">
        <v>45824</v>
      </c>
      <c r="D7" t="inlineStr">
        <is>
          <t>SKÅNE LÄN</t>
        </is>
      </c>
      <c r="E7" t="inlineStr">
        <is>
          <t>KÄVLINGE</t>
        </is>
      </c>
      <c r="F7" t="inlineStr">
        <is>
          <t>Övriga Aktiebolag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56220-2019</t>
        </is>
      </c>
      <c r="B8" s="1" t="n">
        <v>43755</v>
      </c>
      <c r="C8" s="1" t="n">
        <v>45824</v>
      </c>
      <c r="D8" t="inlineStr">
        <is>
          <t>SKÅNE LÄN</t>
        </is>
      </c>
      <c r="E8" t="inlineStr">
        <is>
          <t>KÄVLINGE</t>
        </is>
      </c>
      <c r="F8" t="inlineStr">
        <is>
          <t>Övriga Aktiebolag</t>
        </is>
      </c>
      <c r="G8" t="n">
        <v>3.4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25279-2021</t>
        </is>
      </c>
      <c r="B9" s="1" t="n">
        <v>44342</v>
      </c>
      <c r="C9" s="1" t="n">
        <v>45824</v>
      </c>
      <c r="D9" t="inlineStr">
        <is>
          <t>SKÅNE LÄN</t>
        </is>
      </c>
      <c r="E9" t="inlineStr">
        <is>
          <t>KÄVLINGE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1468-2022</t>
        </is>
      </c>
      <c r="B10" s="1" t="n">
        <v>44573</v>
      </c>
      <c r="C10" s="1" t="n">
        <v>45824</v>
      </c>
      <c r="D10" t="inlineStr">
        <is>
          <t>SKÅNE LÄN</t>
        </is>
      </c>
      <c r="E10" t="inlineStr">
        <is>
          <t>KÄVLINGE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65018-2023</t>
        </is>
      </c>
      <c r="B11" s="1" t="n">
        <v>45287</v>
      </c>
      <c r="C11" s="1" t="n">
        <v>45824</v>
      </c>
      <c r="D11" t="inlineStr">
        <is>
          <t>SKÅNE LÄN</t>
        </is>
      </c>
      <c r="E11" t="inlineStr">
        <is>
          <t>KÄVLINGE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22369-2024</t>
        </is>
      </c>
      <c r="B12" s="1" t="n">
        <v>45446</v>
      </c>
      <c r="C12" s="1" t="n">
        <v>45824</v>
      </c>
      <c r="D12" t="inlineStr">
        <is>
          <t>SKÅNE LÄN</t>
        </is>
      </c>
      <c r="E12" t="inlineStr">
        <is>
          <t>KÄVLINGE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53361-2024</t>
        </is>
      </c>
      <c r="B13" s="1" t="n">
        <v>45614</v>
      </c>
      <c r="C13" s="1" t="n">
        <v>45824</v>
      </c>
      <c r="D13" t="inlineStr">
        <is>
          <t>SKÅNE LÄN</t>
        </is>
      </c>
      <c r="E13" t="inlineStr">
        <is>
          <t>KÄVLINGE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18968-2025</t>
        </is>
      </c>
      <c r="B14" s="1" t="n">
        <v>45764</v>
      </c>
      <c r="C14" s="1" t="n">
        <v>45824</v>
      </c>
      <c r="D14" t="inlineStr">
        <is>
          <t>SKÅNE LÄN</t>
        </is>
      </c>
      <c r="E14" t="inlineStr">
        <is>
          <t>KÄVLINGE</t>
        </is>
      </c>
      <c r="G14" t="n">
        <v>8.199999999999999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19003-2025</t>
        </is>
      </c>
      <c r="B15" s="1" t="n">
        <v>45764</v>
      </c>
      <c r="C15" s="1" t="n">
        <v>45824</v>
      </c>
      <c r="D15" t="inlineStr">
        <is>
          <t>SKÅNE LÄN</t>
        </is>
      </c>
      <c r="E15" t="inlineStr">
        <is>
          <t>KÄVLINGE</t>
        </is>
      </c>
      <c r="G15" t="n">
        <v>5.4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2025-06-16T18:57:30Z</dcterms:created>
  <dcterms:modified xmlns:dcterms="http://purl.org/dc/terms/" xmlns:xsi="http://www.w3.org/2001/XMLSchema-instance" xsi:type="dcterms:W3CDTF">2025-06-16T18:57:30Z</dcterms:modified>
</cp:coreProperties>
</file>